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  <sheet xmlns:r="http://schemas.openxmlformats.org/officeDocument/2006/relationships" name="Month Summary" sheetId="2" state="visible" r:id="rId2"/>
  </sheets>
  <definedNames>
    <definedName name="_xlnm.Print_Area" localSheetId="0">'Cash Flow'!$A$1:$G$15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\-mmm\-yy"/>
    <numFmt numFmtId="166" formatCode="#,##0.00;\-#,##0.00"/>
  </numFmts>
  <fonts count="3">
    <font>
      <name val="Calibri"/>
      <family val="2"/>
      <color theme="1"/>
      <sz val="11"/>
      <scheme val="minor"/>
    </font>
    <font>
      <color rgb="FF0000FF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>
          <bgColor rgb="FFFFFF99"/>
        </patternFill>
      </fill>
    </dxf>
    <dxf>
      <fill>
        <patternFill>
          <bgColor rgb="FFE6D9F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18" customHeight="1">
      <c r="A1" t="inlineStr">
        <is>
          <t>EXAMPLE COMPANY PRIVATE LIMITED</t>
        </is>
      </c>
    </row>
    <row r="2" ht="18" customHeight="1">
      <c r="A2" t="inlineStr">
        <is>
          <t>Budget: Cash Flow (fictional)</t>
        </is>
      </c>
    </row>
    <row r="3" ht="18" customHeight="1">
      <c r="A3" s="1" t="n">
        <v>46319</v>
      </c>
      <c r="B3" t="inlineStr">
        <is>
          <t>Fund Available -</t>
        </is>
      </c>
      <c r="D3" t="n">
        <v>1350000</v>
      </c>
    </row>
    <row r="4" ht="18" customHeight="1">
      <c r="A4" t="inlineStr">
        <is>
          <t>Due Date</t>
        </is>
      </c>
      <c r="B4" t="inlineStr">
        <is>
          <t>Payments \ (Receipts)</t>
        </is>
      </c>
      <c r="C4" t="inlineStr">
        <is>
          <t>Head</t>
        </is>
      </c>
      <c r="D4" t="inlineStr">
        <is>
          <t>IN Rupees</t>
        </is>
      </c>
      <c r="E4" t="inlineStr">
        <is>
          <t>Balance</t>
        </is>
      </c>
      <c r="F4" t="inlineStr">
        <is>
          <t>Done (1/0)</t>
        </is>
      </c>
      <c r="G4" t="inlineStr">
        <is>
          <t>Remarks if any</t>
        </is>
      </c>
    </row>
    <row r="5" ht="18" customHeight="1">
      <c r="A5">
        <f>A3</f>
        <v/>
      </c>
      <c r="B5" t="inlineStr">
        <is>
          <t>Opening bank balance (fund available)</t>
        </is>
      </c>
      <c r="E5">
        <f>D3</f>
        <v/>
      </c>
      <c r="F5" t="n">
        <v>1</v>
      </c>
    </row>
    <row r="6" ht="18" customHeight="1">
      <c r="A6" s="2" t="n">
        <v>46310</v>
      </c>
      <c r="B6" t="inlineStr">
        <is>
          <t>Vendor X balance payment</t>
        </is>
      </c>
      <c r="C6" t="inlineStr">
        <is>
          <t>Vendor</t>
        </is>
      </c>
      <c r="D6" s="3" t="n">
        <v>50000</v>
      </c>
      <c r="E6">
        <f>E5</f>
        <v/>
      </c>
      <c r="F6" t="n">
        <v>1</v>
      </c>
      <c r="G6" t="inlineStr">
        <is>
          <t>Done: already in opening balance</t>
        </is>
      </c>
    </row>
    <row r="7" ht="18" customHeight="1">
      <c r="A7" s="2" t="n">
        <v>46317</v>
      </c>
      <c r="B7" t="inlineStr">
        <is>
          <t>Client A invoice 1</t>
        </is>
      </c>
      <c r="C7" t="inlineStr">
        <is>
          <t>Receipt</t>
        </is>
      </c>
      <c r="D7" s="3" t="n">
        <v>-300000</v>
      </c>
      <c r="E7">
        <f>E6</f>
        <v/>
      </c>
      <c r="F7" t="n">
        <v>1</v>
      </c>
      <c r="G7" t="inlineStr">
        <is>
          <t>Received: already in opening balance</t>
        </is>
      </c>
    </row>
    <row r="8" ht="18" customHeight="1">
      <c r="A8" s="2" t="n">
        <v>46321</v>
      </c>
      <c r="B8" t="inlineStr">
        <is>
          <t>Project Alpha fittings</t>
        </is>
      </c>
      <c r="C8" t="inlineStr">
        <is>
          <t>Project Alpha</t>
        </is>
      </c>
      <c r="D8" s="3" t="n">
        <v>100000</v>
      </c>
      <c r="E8">
        <f>E7-N(D8)</f>
        <v/>
      </c>
    </row>
    <row r="9" ht="18" customHeight="1">
      <c r="A9" s="2" t="n">
        <v>46321</v>
      </c>
      <c r="B9" t="inlineStr">
        <is>
          <t>Client A advance</t>
        </is>
      </c>
      <c r="C9" t="inlineStr">
        <is>
          <t>Receipt</t>
        </is>
      </c>
      <c r="D9" s="3" t="n">
        <v>-200000</v>
      </c>
      <c r="E9">
        <f>E8-N(D9)</f>
        <v/>
      </c>
    </row>
    <row r="10" ht="18" customHeight="1">
      <c r="A10" s="2" t="n">
        <v>46331</v>
      </c>
      <c r="B10" t="inlineStr">
        <is>
          <t>Salary Sep</t>
        </is>
      </c>
      <c r="C10" t="inlineStr">
        <is>
          <t>Monthly</t>
        </is>
      </c>
      <c r="D10" s="3" t="n">
        <v>400000</v>
      </c>
      <c r="E10">
        <f>E9-N(D10)</f>
        <v/>
      </c>
    </row>
    <row r="11" ht="18" customHeight="1">
      <c r="A11" s="2" t="n">
        <v>46361</v>
      </c>
      <c r="B11" t="inlineStr">
        <is>
          <t>Salary Oct</t>
        </is>
      </c>
      <c r="C11" t="inlineStr">
        <is>
          <t>Monthly</t>
        </is>
      </c>
      <c r="D11" s="4">
        <f>D10</f>
        <v/>
      </c>
      <c r="E11">
        <f>E10-N(D11)</f>
        <v/>
      </c>
    </row>
    <row r="12" ht="18" customHeight="1">
      <c r="A12" s="2" t="n">
        <v>46392</v>
      </c>
      <c r="B12" t="inlineStr">
        <is>
          <t>Salary Nov</t>
        </is>
      </c>
      <c r="C12" t="inlineStr">
        <is>
          <t>Monthly</t>
        </is>
      </c>
      <c r="D12" s="4">
        <f>D10</f>
        <v/>
      </c>
      <c r="E12">
        <f>E11-N(D12)</f>
        <v/>
      </c>
    </row>
    <row r="13" ht="18" customHeight="1">
      <c r="A13" s="2" t="n">
        <v>46477</v>
      </c>
      <c r="B13" t="inlineStr">
        <is>
          <t>Software licence</t>
        </is>
      </c>
      <c r="C13" t="inlineStr">
        <is>
          <t>Software</t>
        </is>
      </c>
      <c r="D13" s="3" t="n">
        <v>90000</v>
      </c>
      <c r="E13">
        <f>E12-N(D13)</f>
        <v/>
      </c>
    </row>
    <row r="14" ht="18" customHeight="1">
      <c r="A14" s="1" t="n">
        <v>46477</v>
      </c>
      <c r="B14" s="5" t="inlineStr">
        <is>
          <t>Closing balance at end of cash flow period</t>
        </is>
      </c>
      <c r="E14">
        <f>E13</f>
        <v/>
      </c>
    </row>
    <row r="15" ht="18" customHeight="1">
      <c r="B15" s="5" t="inlineStr">
        <is>
          <t>Lowest balance in the period</t>
        </is>
      </c>
      <c r="E15">
        <f>MIN(E5:E13)</f>
        <v/>
      </c>
      <c r="G15">
        <f>"on "&amp;TEXT(INDEX(A5:A13,MATCH(MIN(E5:E13),E5:E13,0)),"dd-mmm-yy")</f>
        <v/>
      </c>
    </row>
  </sheetData>
  <mergeCells count="2">
    <mergeCell ref="A2:G2"/>
    <mergeCell ref="A1:G1"/>
  </mergeCells>
  <conditionalFormatting sqref="F6:F13">
    <cfRule type="expression" priority="1" dxfId="0">
      <formula>ISBLANK(F6)</formula>
    </cfRule>
  </conditionalFormatting>
  <conditionalFormatting sqref="A6:C13">
    <cfRule type="expression" priority="2" dxfId="1">
      <formula>$F6=1</formula>
    </cfRule>
  </conditionalFormatting>
  <conditionalFormatting sqref="E5:E13">
    <cfRule type="expression" priority="3" dxfId="2">
      <formula>E5=MIN($E$5:$E$13)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COMPANY: month-wise summary</t>
        </is>
      </c>
    </row>
    <row r="4">
      <c r="A4" t="inlineStr">
        <is>
          <t>Month</t>
        </is>
      </c>
      <c r="B4" t="inlineStr">
        <is>
          <t>Opening balance</t>
        </is>
      </c>
      <c r="C4" t="inlineStr">
        <is>
          <t>Receipts (in)</t>
        </is>
      </c>
      <c r="D4" t="inlineStr">
        <is>
          <t>Payments (out)</t>
        </is>
      </c>
      <c r="E4" t="inlineStr">
        <is>
          <t>Closing balance</t>
        </is>
      </c>
      <c r="F4" t="inlineStr">
        <is>
          <t>Lowest balance in month</t>
        </is>
      </c>
      <c r="G4" t="inlineStr">
        <is>
          <t>Check</t>
        </is>
      </c>
    </row>
    <row r="5">
      <c r="A5" s="1" t="n">
        <v>46296</v>
      </c>
      <c r="B5">
        <f>'Cash Flow'!D3</f>
        <v/>
      </c>
      <c r="C5">
        <f>-SUMIFS('Cash Flow'!$D$5:$D$13,'Cash Flow'!$A$5:$A$13,"&gt;="&amp;H5,'Cash Flow'!$A$5:$A$13,"&lt;="&amp;I5,'Cash Flow'!$D$5:$D$13,"&lt;0")</f>
        <v/>
      </c>
      <c r="D5">
        <f>SUMIFS('Cash Flow'!$D$5:$D$13,'Cash Flow'!$A$5:$A$13,"&gt;="&amp;H5,'Cash Flow'!$A$5:$A$13,"&lt;="&amp;I5,'Cash Flow'!$D$5:$D$13,"&gt;0")</f>
        <v/>
      </c>
      <c r="E5">
        <f>B5+C5-D5</f>
        <v/>
      </c>
      <c r="F5">
        <f>MIN(B5,_xlfn.MINIFS('Cash Flow'!$E$5:$E$13,'Cash Flow'!$A$5:$A$13,"&gt;="&amp;H5,'Cash Flow'!$A$5:$A$13,"&lt;="&amp;I5))</f>
        <v/>
      </c>
      <c r="G5">
        <f>IF(F5&lt;0,"Shortfall","")</f>
        <v/>
      </c>
      <c r="H5" s="1" t="n">
        <v>46319</v>
      </c>
      <c r="I5" s="1" t="n">
        <v>46326</v>
      </c>
    </row>
    <row r="6">
      <c r="A6" s="1" t="n">
        <v>46327</v>
      </c>
      <c r="B6">
        <f>E5</f>
        <v/>
      </c>
      <c r="C6">
        <f>-SUMIFS('Cash Flow'!$D$5:$D$13,'Cash Flow'!$A$5:$A$13,"&gt;="&amp;H6,'Cash Flow'!$A$5:$A$13,"&lt;="&amp;I6,'Cash Flow'!$D$5:$D$13,"&lt;0")</f>
        <v/>
      </c>
      <c r="D6">
        <f>SUMIFS('Cash Flow'!$D$5:$D$13,'Cash Flow'!$A$5:$A$13,"&gt;="&amp;H6,'Cash Flow'!$A$5:$A$13,"&lt;="&amp;I6,'Cash Flow'!$D$5:$D$13,"&gt;0")</f>
        <v/>
      </c>
      <c r="E6">
        <f>B6+C6-D6</f>
        <v/>
      </c>
      <c r="F6">
        <f>MIN(B6,_xlfn.MINIFS('Cash Flow'!$E$5:$E$13,'Cash Flow'!$A$5:$A$13,"&gt;="&amp;H6,'Cash Flow'!$A$5:$A$13,"&lt;="&amp;I6))</f>
        <v/>
      </c>
      <c r="G6">
        <f>IF(F6&lt;0,"Shortfall","")</f>
        <v/>
      </c>
      <c r="H6" s="1" t="n">
        <v>46327</v>
      </c>
      <c r="I6" s="1" t="n">
        <v>46356</v>
      </c>
    </row>
    <row r="7">
      <c r="A7" s="1" t="n">
        <v>46357</v>
      </c>
      <c r="B7">
        <f>E6</f>
        <v/>
      </c>
      <c r="C7">
        <f>-SUMIFS('Cash Flow'!$D$5:$D$13,'Cash Flow'!$A$5:$A$13,"&gt;="&amp;H7,'Cash Flow'!$A$5:$A$13,"&lt;="&amp;I7,'Cash Flow'!$D$5:$D$13,"&lt;0")</f>
        <v/>
      </c>
      <c r="D7">
        <f>SUMIFS('Cash Flow'!$D$5:$D$13,'Cash Flow'!$A$5:$A$13,"&gt;="&amp;H7,'Cash Flow'!$A$5:$A$13,"&lt;="&amp;I7,'Cash Flow'!$D$5:$D$13,"&gt;0")</f>
        <v/>
      </c>
      <c r="E7">
        <f>B7+C7-D7</f>
        <v/>
      </c>
      <c r="F7">
        <f>MIN(B7,_xlfn.MINIFS('Cash Flow'!$E$5:$E$13,'Cash Flow'!$A$5:$A$13,"&gt;="&amp;H7,'Cash Flow'!$A$5:$A$13,"&lt;="&amp;I7))</f>
        <v/>
      </c>
      <c r="G7">
        <f>IF(F7&lt;0,"Shortfall","")</f>
        <v/>
      </c>
      <c r="H7" s="1" t="n">
        <v>46357</v>
      </c>
      <c r="I7" s="1" t="n">
        <v>46387</v>
      </c>
    </row>
    <row r="8">
      <c r="A8" s="1" t="n">
        <v>46388</v>
      </c>
      <c r="B8">
        <f>E7</f>
        <v/>
      </c>
      <c r="C8">
        <f>-SUMIFS('Cash Flow'!$D$5:$D$13,'Cash Flow'!$A$5:$A$13,"&gt;="&amp;H8,'Cash Flow'!$A$5:$A$13,"&lt;="&amp;I8,'Cash Flow'!$D$5:$D$13,"&lt;0")</f>
        <v/>
      </c>
      <c r="D8">
        <f>SUMIFS('Cash Flow'!$D$5:$D$13,'Cash Flow'!$A$5:$A$13,"&gt;="&amp;H8,'Cash Flow'!$A$5:$A$13,"&lt;="&amp;I8,'Cash Flow'!$D$5:$D$13,"&gt;0")</f>
        <v/>
      </c>
      <c r="E8">
        <f>B8+C8-D8</f>
        <v/>
      </c>
      <c r="F8">
        <f>MIN(B8,_xlfn.MINIFS('Cash Flow'!$E$5:$E$13,'Cash Flow'!$A$5:$A$13,"&gt;="&amp;H8,'Cash Flow'!$A$5:$A$13,"&lt;="&amp;I8))</f>
        <v/>
      </c>
      <c r="G8">
        <f>IF(F8&lt;0,"Shortfall","")</f>
        <v/>
      </c>
      <c r="H8" s="1" t="n">
        <v>46388</v>
      </c>
      <c r="I8" s="1" t="n">
        <v>46418</v>
      </c>
    </row>
    <row r="9">
      <c r="A9" s="1" t="n">
        <v>46419</v>
      </c>
      <c r="B9">
        <f>E8</f>
        <v/>
      </c>
      <c r="C9">
        <f>-SUMIFS('Cash Flow'!$D$5:$D$13,'Cash Flow'!$A$5:$A$13,"&gt;="&amp;H9,'Cash Flow'!$A$5:$A$13,"&lt;="&amp;I9,'Cash Flow'!$D$5:$D$13,"&lt;0")</f>
        <v/>
      </c>
      <c r="D9">
        <f>SUMIFS('Cash Flow'!$D$5:$D$13,'Cash Flow'!$A$5:$A$13,"&gt;="&amp;H9,'Cash Flow'!$A$5:$A$13,"&lt;="&amp;I9,'Cash Flow'!$D$5:$D$13,"&gt;0")</f>
        <v/>
      </c>
      <c r="E9">
        <f>B9+C9-D9</f>
        <v/>
      </c>
      <c r="F9">
        <f>MIN(B9,_xlfn.MINIFS('Cash Flow'!$E$5:$E$13,'Cash Flow'!$A$5:$A$13,"&gt;="&amp;H9,'Cash Flow'!$A$5:$A$13,"&lt;="&amp;I9))</f>
        <v/>
      </c>
      <c r="G9">
        <f>IF(F9&lt;0,"Shortfall","")</f>
        <v/>
      </c>
      <c r="H9" s="1" t="n">
        <v>46419</v>
      </c>
      <c r="I9" s="1" t="n">
        <v>46446</v>
      </c>
    </row>
    <row r="10">
      <c r="A10" s="1" t="n">
        <v>46447</v>
      </c>
      <c r="B10">
        <f>E9</f>
        <v/>
      </c>
      <c r="C10">
        <f>-SUMIFS('Cash Flow'!$D$5:$D$13,'Cash Flow'!$A$5:$A$13,"&gt;="&amp;H10,'Cash Flow'!$A$5:$A$13,"&lt;="&amp;I10,'Cash Flow'!$D$5:$D$13,"&lt;0")</f>
        <v/>
      </c>
      <c r="D10">
        <f>SUMIFS('Cash Flow'!$D$5:$D$13,'Cash Flow'!$A$5:$A$13,"&gt;="&amp;H10,'Cash Flow'!$A$5:$A$13,"&lt;="&amp;I10,'Cash Flow'!$D$5:$D$13,"&gt;0")</f>
        <v/>
      </c>
      <c r="E10">
        <f>B10+C10-D10</f>
        <v/>
      </c>
      <c r="F10">
        <f>MIN(B10,_xlfn.MINIFS('Cash Flow'!$E$5:$E$13,'Cash Flow'!$A$5:$A$13,"&gt;="&amp;H10,'Cash Flow'!$A$5:$A$13,"&lt;="&amp;I10))</f>
        <v/>
      </c>
      <c r="G10">
        <f>IF(F10&lt;0,"Shortfall","")</f>
        <v/>
      </c>
      <c r="H10" s="1" t="n">
        <v>46447</v>
      </c>
      <c r="I10" s="1" t="n">
        <v>46477</v>
      </c>
    </row>
    <row r="11">
      <c r="A11" t="inlineStr">
        <is>
          <t>TOTAL</t>
        </is>
      </c>
      <c r="C11">
        <f>SUM(C5:C10)</f>
        <v/>
      </c>
      <c r="D11">
        <f>SUM(D5:D10)</f>
        <v/>
      </c>
      <c r="E11">
        <f>E10</f>
        <v/>
      </c>
      <c r="G11">
        <f>IF(ROUND(E11-'Cash Flow'!E14,2)=0,"OK","Mismatch")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2026-10-25T04:40:17Z</dcterms:created>
  <dcterms:modified xmlns:dcterms="http://purl.org/dc/terms/" xmlns:xsi="http://www.w3.org/2001/XMLSchema-instance" xsi:type="dcterms:W3CDTF">2026-10-25T04:40:17Z</dcterms:modified>
</cp:coreProperties>
</file>